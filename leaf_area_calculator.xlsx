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rabidopsis" sheetId="2" state="visible" r:id="rId2"/>
    <sheet xmlns:r="http://schemas.openxmlformats.org/officeDocument/2006/relationships" name="Wheat" sheetId="3" state="visible" r:id="rId3"/>
    <sheet xmlns:r="http://schemas.openxmlformats.org/officeDocument/2006/relationships" name="Ma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i val="1"/>
      <color rgb="00555555"/>
      <sz val="10"/>
    </font>
    <font>
      <name val="Arial"/>
      <b val="1"/>
      <sz val="13"/>
    </font>
    <font>
      <name val="Courier New"/>
      <b val="1"/>
      <sz val="11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2" fontId="4" fillId="2" borderId="1" pivotButton="0" quotePrefix="0" xfId="0"/>
    <xf numFmtId="0" fontId="5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2" borderId="1" pivotButton="0" quotePrefix="0" xfId="0"/>
    <xf numFmtId="164" fontId="4" fillId="2" borderId="1" pivotButton="0" quotePrefix="0" xfId="0"/>
    <xf numFmtId="164" fontId="2" fillId="0" borderId="1" pivotButton="0" quotePrefix="0" xfId="0"/>
    <xf numFmtId="0" fontId="5" fillId="0" borderId="0" pivotButton="0" quotePrefix="0" xfId="0"/>
    <xf numFmtId="164" fontId="3" fillId="0" borderId="0" pivotButton="0" quotePrefix="0" xfId="0"/>
    <xf numFmtId="164" fontId="6" fillId="4" borderId="1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Leaf area calculator for the lunchbox photosynthesis logger</t>
        </is>
      </c>
    </row>
    <row r="2">
      <c r="A2" s="2" t="inlineStr"/>
    </row>
    <row r="3">
      <c r="A3" s="2" t="inlineStr">
        <is>
          <t>A_net is divided by leaf area, so halve the leaf area and A_net doubles. If unsure, err on the low side.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1. Open the sheet for your plant (Arabidopsis, Wheat or Maize).</t>
        </is>
      </c>
    </row>
    <row r="7">
      <c r="A7" s="2" t="inlineStr">
        <is>
          <t>2. Overwrite the yellow cells with your own measurements in cm. Blue numbers are inputs; everything else is calculated.</t>
        </is>
      </c>
    </row>
    <row r="8">
      <c r="A8" s="2" t="inlineStr">
        <is>
          <t>3. Delete any example rows you don't need. Rows left blank are ignored.</t>
        </is>
      </c>
    </row>
    <row r="9">
      <c r="A9" s="2" t="inlineStr">
        <is>
          <t>4. Copy the green 'Run with' line into the command, e.g.</t>
        </is>
      </c>
    </row>
    <row r="10">
      <c r="A10" s="2" t="inlineStr">
        <is>
          <t xml:space="preserve">     run ./plot_lunchbox_photosynthesis.py --leaf_area 12</t>
        </is>
      </c>
    </row>
    <row r="11">
      <c r="A11" s="2" t="inlineStr"/>
    </row>
    <row r="12">
      <c r="A12" s="2" t="inlineStr">
        <is>
          <t>The example values already filled in are measurements of our own plants (October 2026).</t>
        </is>
      </c>
    </row>
    <row r="13">
      <c r="A13" s="2" t="inlineStr"/>
    </row>
    <row r="14">
      <c r="A14" s="3" t="inlineStr">
        <is>
          <t>The formula</t>
        </is>
      </c>
    </row>
    <row r="15">
      <c r="A15" s="2" t="inlineStr">
        <is>
          <t>leaf area of one leaf (cm²) ≈ shape factor × length × width</t>
        </is>
      </c>
    </row>
    <row r="16">
      <c r="A16" s="2" t="inlineStr">
        <is>
          <t>plant leaf area (cm²) = overlap factor × sum over all leaves</t>
        </is>
      </c>
    </row>
    <row r="17">
      <c r="A17" s="2" t="inlineStr"/>
    </row>
    <row r="18">
      <c r="A18" s="2" t="inlineStr">
        <is>
          <t>Arabidopsis uses projected leaf area (what you see from above), so it has an overlap factor of 0.5. Wheat and maize use the one-sided area of each blade, with no overlap correction.</t>
        </is>
      </c>
    </row>
    <row r="19">
      <c r="A19" s="2" t="inlineStr"/>
    </row>
    <row r="20">
      <c r="A20" s="2" t="inlineStr">
        <is>
          <t>In the box, arrange grass blades so they face the lamp and don't fold back or press against the walls or sensor: a shaded blade makes the leaf area too high and A_net too 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8" customWidth="1" min="5" max="5"/>
    <col width="60" customWidth="1" min="6" max="6"/>
  </cols>
  <sheetData>
    <row r="1">
      <c r="A1" s="4" t="inlineStr">
        <is>
          <t>Arabidopsis leaf area</t>
        </is>
      </c>
    </row>
    <row r="2" ht="45" customHeight="1">
      <c r="A2" s="2" t="inlineStr">
        <is>
          <t>Rosette leaves. Measure the leaf BLADE: length from the tip to where the blade meets the stalk (leave the stalk out), width across the widest part. Group leaves by size: measure one leaf of each size and enter how many leaves are that size.</t>
        </is>
      </c>
    </row>
    <row r="4" ht="30" customHeight="1">
      <c r="A4" s="5" t="inlineStr">
        <is>
          <t>Shape factor</t>
        </is>
      </c>
      <c r="B4" s="6" t="n">
        <v>0.7</v>
      </c>
      <c r="C4" s="7" t="inlineStr">
        <is>
          <t>Fraction of the length x width rectangle a rosette leaf fills (an ellipse fills 0.79; rounded and spoon-shaped leaves a bit less).</t>
        </is>
      </c>
    </row>
    <row r="5" ht="30" customHeight="1">
      <c r="A5" s="5" t="inlineStr">
        <is>
          <t>Overlap factor</t>
        </is>
      </c>
      <c r="B5" s="6" t="n">
        <v>0.5</v>
      </c>
      <c r="C5" s="7" t="inlineStr">
        <is>
          <t>Fraction of the total leaf area you can see from directly above. Inner leaves sit under outer ones and leaves tilt up, so only about half shows.</t>
        </is>
      </c>
    </row>
    <row r="7" ht="30" customHeight="1">
      <c r="A7" s="8" t="inlineStr">
        <is>
          <t>Leaf</t>
        </is>
      </c>
      <c r="B7" s="8" t="inlineStr">
        <is>
          <t>Length (cm)</t>
        </is>
      </c>
      <c r="C7" s="8" t="inlineStr">
        <is>
          <t>Width (cm)</t>
        </is>
      </c>
      <c r="D7" s="8" t="inlineStr">
        <is>
          <t>How many leafs this size</t>
        </is>
      </c>
      <c r="E7" s="8" t="inlineStr">
        <is>
          <t>Area (cm²)</t>
        </is>
      </c>
    </row>
    <row r="8">
      <c r="A8" s="9" t="inlineStr">
        <is>
          <t>Large</t>
        </is>
      </c>
      <c r="B8" s="10" t="n">
        <v>2.5</v>
      </c>
      <c r="C8" s="10" t="n">
        <v>1.6</v>
      </c>
      <c r="D8" s="9" t="n">
        <v>8</v>
      </c>
      <c r="E8" s="11">
        <f>IF(OR(B8="",C8=""),"",$B$4*B8*C8*IF(D8="",1,D8))</f>
        <v/>
      </c>
      <c r="F8" s="12" t="inlineStr">
        <is>
          <t>Blank 'How many' counts as 1.</t>
        </is>
      </c>
    </row>
    <row r="9">
      <c r="A9" s="9" t="inlineStr">
        <is>
          <t>Medium</t>
        </is>
      </c>
      <c r="B9" s="10" t="n">
        <v>1.5</v>
      </c>
      <c r="C9" s="10" t="n">
        <v>1.5</v>
      </c>
      <c r="D9" s="9" t="n">
        <v>4</v>
      </c>
      <c r="E9" s="11">
        <f>IF(OR(B9="",C9=""),"",$B$4*B9*C9*IF(D9="",1,D9))</f>
        <v/>
      </c>
    </row>
    <row r="10">
      <c r="A10" s="9" t="inlineStr">
        <is>
          <t>Tiny</t>
        </is>
      </c>
      <c r="B10" s="10" t="n">
        <v>0.7</v>
      </c>
      <c r="C10" s="10" t="n">
        <v>0.7</v>
      </c>
      <c r="D10" s="9" t="n">
        <v>4</v>
      </c>
      <c r="E10" s="11">
        <f>IF(OR(B10="",C10=""),"",$B$4*B10*C10*IF(D10="",1,D10))</f>
        <v/>
      </c>
    </row>
    <row r="11">
      <c r="A11" s="9" t="n"/>
      <c r="B11" s="10" t="n"/>
      <c r="C11" s="10" t="n"/>
      <c r="D11" s="9" t="n"/>
      <c r="E11" s="11">
        <f>IF(OR(B11="",C11=""),"",$B$4*B11*C11*IF(D11="",1,D11))</f>
        <v/>
      </c>
    </row>
    <row r="12">
      <c r="A12" s="9" t="n"/>
      <c r="B12" s="10" t="n"/>
      <c r="C12" s="10" t="n"/>
      <c r="D12" s="9" t="n"/>
      <c r="E12" s="11">
        <f>IF(OR(B12="",C12=""),"",$B$4*B12*C12*IF(D12="",1,D12))</f>
        <v/>
      </c>
    </row>
    <row r="13">
      <c r="A13" s="9" t="n"/>
      <c r="B13" s="10" t="n"/>
      <c r="C13" s="10" t="n"/>
      <c r="D13" s="9" t="n"/>
      <c r="E13" s="11">
        <f>IF(OR(B13="",C13=""),"",$B$4*B13*C13*IF(D13="",1,D13))</f>
        <v/>
      </c>
    </row>
    <row r="14">
      <c r="A14" s="9" t="n"/>
      <c r="B14" s="10" t="n"/>
      <c r="C14" s="10" t="n"/>
      <c r="D14" s="9" t="n"/>
      <c r="E14" s="11">
        <f>IF(OR(B14="",C14=""),"",$B$4*B14*C14*IF(D14="",1,D14))</f>
        <v/>
      </c>
    </row>
    <row r="15">
      <c r="A15" s="9" t="n"/>
      <c r="B15" s="10" t="n"/>
      <c r="C15" s="10" t="n"/>
      <c r="D15" s="9" t="n"/>
      <c r="E15" s="11">
        <f>IF(OR(B15="",C15=""),"",$B$4*B15*C15*IF(D15="",1,D15))</f>
        <v/>
      </c>
    </row>
    <row r="16">
      <c r="A16" s="9" t="n"/>
      <c r="B16" s="10" t="n"/>
      <c r="C16" s="10" t="n"/>
      <c r="D16" s="9" t="n"/>
      <c r="E16" s="11">
        <f>IF(OR(B16="",C16=""),"",$B$4*B16*C16*IF(D16="",1,D16))</f>
        <v/>
      </c>
    </row>
    <row r="17">
      <c r="A17" s="9" t="n"/>
      <c r="B17" s="10" t="n"/>
      <c r="C17" s="10" t="n"/>
      <c r="D17" s="9" t="n"/>
      <c r="E17" s="11">
        <f>IF(OR(B17="",C17=""),"",$B$4*B17*C17*IF(D17="",1,D17))</f>
        <v/>
      </c>
    </row>
    <row r="18">
      <c r="A18" s="9" t="n"/>
      <c r="B18" s="10" t="n"/>
      <c r="C18" s="10" t="n"/>
      <c r="D18" s="9" t="n"/>
      <c r="E18" s="11">
        <f>IF(OR(B18="",C18=""),"",$B$4*B18*C18*IF(D18="",1,D18))</f>
        <v/>
      </c>
    </row>
    <row r="19">
      <c r="A19" s="9" t="n"/>
      <c r="B19" s="10" t="n"/>
      <c r="C19" s="10" t="n"/>
      <c r="D19" s="9" t="n"/>
      <c r="E19" s="11">
        <f>IF(OR(B19="",C19=""),"",$B$4*B19*C19*IF(D19="",1,D19))</f>
        <v/>
      </c>
    </row>
    <row r="20">
      <c r="A20" s="9" t="n"/>
      <c r="B20" s="10" t="n"/>
      <c r="C20" s="10" t="n"/>
      <c r="D20" s="9" t="n"/>
      <c r="E20" s="11">
        <f>IF(OR(B20="",C20=""),"",$B$4*B20*C20*IF(D20="",1,D20))</f>
        <v/>
      </c>
    </row>
    <row r="21">
      <c r="A21" s="9" t="n"/>
      <c r="B21" s="10" t="n"/>
      <c r="C21" s="10" t="n"/>
      <c r="D21" s="9" t="n"/>
      <c r="E21" s="11">
        <f>IF(OR(B21="",C21=""),"",$B$4*B21*C21*IF(D21="",1,D21))</f>
        <v/>
      </c>
    </row>
    <row r="22">
      <c r="A22" s="9" t="n"/>
      <c r="B22" s="10" t="n"/>
      <c r="C22" s="10" t="n"/>
      <c r="D22" s="9" t="n"/>
      <c r="E22" s="11">
        <f>IF(OR(B22="",C22=""),"",$B$4*B22*C22*IF(D22="",1,D22))</f>
        <v/>
      </c>
    </row>
    <row r="23">
      <c r="A23" s="9" t="n"/>
      <c r="B23" s="10" t="n"/>
      <c r="C23" s="10" t="n"/>
      <c r="D23" s="9" t="n"/>
      <c r="E23" s="11">
        <f>IF(OR(B23="",C23=""),"",$B$4*B23*C23*IF(D23="",1,D23))</f>
        <v/>
      </c>
    </row>
    <row r="24">
      <c r="A24" s="9" t="n"/>
      <c r="B24" s="10" t="n"/>
      <c r="C24" s="10" t="n"/>
      <c r="D24" s="9" t="n"/>
      <c r="E24" s="11">
        <f>IF(OR(B24="",C24=""),"",$B$4*B24*C24*IF(D24="",1,D24))</f>
        <v/>
      </c>
    </row>
    <row r="25">
      <c r="A25" s="9" t="n"/>
      <c r="B25" s="10" t="n"/>
      <c r="C25" s="10" t="n"/>
      <c r="D25" s="9" t="n"/>
      <c r="E25" s="11">
        <f>IF(OR(B25="",C25=""),"",$B$4*B25*C25*IF(D25="",1,D25))</f>
        <v/>
      </c>
    </row>
    <row r="26">
      <c r="A26" s="9" t="n"/>
      <c r="B26" s="10" t="n"/>
      <c r="C26" s="10" t="n"/>
      <c r="D26" s="9" t="n"/>
      <c r="E26" s="11">
        <f>IF(OR(B26="",C26=""),"",$B$4*B26*C26*IF(D26="",1,D26))</f>
        <v/>
      </c>
    </row>
    <row r="27">
      <c r="A27" s="9" t="n"/>
      <c r="B27" s="10" t="n"/>
      <c r="C27" s="10" t="n"/>
      <c r="D27" s="9" t="n"/>
      <c r="E27" s="11">
        <f>IF(OR(B27="",C27=""),"",$B$4*B27*C27*IF(D27="",1,D27))</f>
        <v/>
      </c>
    </row>
    <row r="29">
      <c r="D29" s="5" t="inlineStr">
        <is>
          <t>Total leaf area (cm²)</t>
        </is>
      </c>
      <c r="E29" s="13">
        <f>SUM(E8:E27)</f>
        <v/>
      </c>
    </row>
    <row r="30">
      <c r="D30" s="5" t="inlineStr">
        <is>
          <t>× overlap factor (cm²)</t>
        </is>
      </c>
      <c r="E30" s="14">
        <f>ROUND($B$5*E29,1)</f>
        <v/>
      </c>
    </row>
    <row r="32">
      <c r="A32" s="5" t="inlineStr">
        <is>
          <t>Run with</t>
        </is>
      </c>
      <c r="B32" s="15">
        <f>"run ./plot_lunchbox_photosynthesis.py --leaf_area "&amp;E30</f>
        <v/>
      </c>
    </row>
  </sheetData>
  <mergeCells count="4">
    <mergeCell ref="B32:F32"/>
    <mergeCell ref="A2:F2"/>
    <mergeCell ref="C4:F4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8" customWidth="1" min="5" max="5"/>
    <col width="60" customWidth="1" min="6" max="6"/>
  </cols>
  <sheetData>
    <row r="1">
      <c r="A1" s="4" t="inlineStr">
        <is>
          <t>Wheat leaf area</t>
        </is>
      </c>
    </row>
    <row r="2" ht="45" customHeight="1">
      <c r="A2" s="2" t="inlineStr">
        <is>
          <t>Grass blades. Measure EACH blade separately: length along the blade from where it leaves the stem (where the blades split, not from the soil) to the tip, width across the widest part.</t>
        </is>
      </c>
    </row>
    <row r="4" ht="30" customHeight="1">
      <c r="A4" s="5" t="inlineStr">
        <is>
          <t>Shape factor</t>
        </is>
      </c>
      <c r="B4" s="6" t="n">
        <v>0.75</v>
      </c>
      <c r="C4" s="7" t="inlineStr">
        <is>
          <t>Fraction of the length x width rectangle a grass blade fills (strap-shaped, tapering only near the tip).</t>
        </is>
      </c>
    </row>
    <row r="5" ht="30" customHeight="1">
      <c r="A5" s="5" t="inlineStr">
        <is>
          <t>Overlap factor</t>
        </is>
      </c>
      <c r="B5" s="6" t="n">
        <v>1</v>
      </c>
      <c r="C5" s="7" t="inlineStr">
        <is>
          <t>Upright grass blades barely overlap, so all of the one-sided blade area counts (1 = no correction).</t>
        </is>
      </c>
    </row>
    <row r="7" ht="30" customHeight="1">
      <c r="A7" s="8" t="inlineStr">
        <is>
          <t>Blade</t>
        </is>
      </c>
      <c r="B7" s="8" t="inlineStr">
        <is>
          <t>Length (cm)</t>
        </is>
      </c>
      <c r="C7" s="8" t="inlineStr">
        <is>
          <t>Width (cm)</t>
        </is>
      </c>
      <c r="D7" s="8" t="inlineStr">
        <is>
          <t>How many blades this size</t>
        </is>
      </c>
      <c r="E7" s="8" t="inlineStr">
        <is>
          <t>Area (cm²)</t>
        </is>
      </c>
    </row>
    <row r="8">
      <c r="A8" s="9" t="inlineStr">
        <is>
          <t>Blade 1</t>
        </is>
      </c>
      <c r="B8" s="10" t="n">
        <v>16</v>
      </c>
      <c r="C8" s="10" t="n">
        <v>0.5</v>
      </c>
      <c r="D8" s="9" t="n">
        <v>1</v>
      </c>
      <c r="E8" s="11">
        <f>IF(OR(B8="",C8=""),"",$B$4*B8*C8*IF(D8="",1,D8))</f>
        <v/>
      </c>
      <c r="F8" s="12" t="inlineStr">
        <is>
          <t>Blank 'How many' counts as 1.</t>
        </is>
      </c>
    </row>
    <row r="9">
      <c r="A9" s="9" t="inlineStr">
        <is>
          <t>Blade 2</t>
        </is>
      </c>
      <c r="B9" s="10" t="n">
        <v>16</v>
      </c>
      <c r="C9" s="10" t="n">
        <v>0.5</v>
      </c>
      <c r="D9" s="9" t="n">
        <v>1</v>
      </c>
      <c r="E9" s="11">
        <f>IF(OR(B9="",C9=""),"",$B$4*B9*C9*IF(D9="",1,D9))</f>
        <v/>
      </c>
    </row>
    <row r="10">
      <c r="A10" s="9" t="n"/>
      <c r="B10" s="10" t="n"/>
      <c r="C10" s="10" t="n"/>
      <c r="D10" s="9" t="n"/>
      <c r="E10" s="11">
        <f>IF(OR(B10="",C10=""),"",$B$4*B10*C10*IF(D10="",1,D10))</f>
        <v/>
      </c>
    </row>
    <row r="11">
      <c r="A11" s="9" t="n"/>
      <c r="B11" s="10" t="n"/>
      <c r="C11" s="10" t="n"/>
      <c r="D11" s="9" t="n"/>
      <c r="E11" s="11">
        <f>IF(OR(B11="",C11=""),"",$B$4*B11*C11*IF(D11="",1,D11))</f>
        <v/>
      </c>
    </row>
    <row r="12">
      <c r="A12" s="9" t="n"/>
      <c r="B12" s="10" t="n"/>
      <c r="C12" s="10" t="n"/>
      <c r="D12" s="9" t="n"/>
      <c r="E12" s="11">
        <f>IF(OR(B12="",C12=""),"",$B$4*B12*C12*IF(D12="",1,D12))</f>
        <v/>
      </c>
    </row>
    <row r="13">
      <c r="A13" s="9" t="n"/>
      <c r="B13" s="10" t="n"/>
      <c r="C13" s="10" t="n"/>
      <c r="D13" s="9" t="n"/>
      <c r="E13" s="11">
        <f>IF(OR(B13="",C13=""),"",$B$4*B13*C13*IF(D13="",1,D13))</f>
        <v/>
      </c>
    </row>
    <row r="14">
      <c r="A14" s="9" t="n"/>
      <c r="B14" s="10" t="n"/>
      <c r="C14" s="10" t="n"/>
      <c r="D14" s="9" t="n"/>
      <c r="E14" s="11">
        <f>IF(OR(B14="",C14=""),"",$B$4*B14*C14*IF(D14="",1,D14))</f>
        <v/>
      </c>
    </row>
    <row r="15">
      <c r="A15" s="9" t="n"/>
      <c r="B15" s="10" t="n"/>
      <c r="C15" s="10" t="n"/>
      <c r="D15" s="9" t="n"/>
      <c r="E15" s="11">
        <f>IF(OR(B15="",C15=""),"",$B$4*B15*C15*IF(D15="",1,D15))</f>
        <v/>
      </c>
    </row>
    <row r="16">
      <c r="A16" s="9" t="n"/>
      <c r="B16" s="10" t="n"/>
      <c r="C16" s="10" t="n"/>
      <c r="D16" s="9" t="n"/>
      <c r="E16" s="11">
        <f>IF(OR(B16="",C16=""),"",$B$4*B16*C16*IF(D16="",1,D16))</f>
        <v/>
      </c>
    </row>
    <row r="17">
      <c r="A17" s="9" t="n"/>
      <c r="B17" s="10" t="n"/>
      <c r="C17" s="10" t="n"/>
      <c r="D17" s="9" t="n"/>
      <c r="E17" s="11">
        <f>IF(OR(B17="",C17=""),"",$B$4*B17*C17*IF(D17="",1,D17))</f>
        <v/>
      </c>
    </row>
    <row r="18">
      <c r="A18" s="9" t="n"/>
      <c r="B18" s="10" t="n"/>
      <c r="C18" s="10" t="n"/>
      <c r="D18" s="9" t="n"/>
      <c r="E18" s="11">
        <f>IF(OR(B18="",C18=""),"",$B$4*B18*C18*IF(D18="",1,D18))</f>
        <v/>
      </c>
    </row>
    <row r="19">
      <c r="A19" s="9" t="n"/>
      <c r="B19" s="10" t="n"/>
      <c r="C19" s="10" t="n"/>
      <c r="D19" s="9" t="n"/>
      <c r="E19" s="11">
        <f>IF(OR(B19="",C19=""),"",$B$4*B19*C19*IF(D19="",1,D19))</f>
        <v/>
      </c>
    </row>
    <row r="20">
      <c r="A20" s="9" t="n"/>
      <c r="B20" s="10" t="n"/>
      <c r="C20" s="10" t="n"/>
      <c r="D20" s="9" t="n"/>
      <c r="E20" s="11">
        <f>IF(OR(B20="",C20=""),"",$B$4*B20*C20*IF(D20="",1,D20))</f>
        <v/>
      </c>
    </row>
    <row r="21">
      <c r="A21" s="9" t="n"/>
      <c r="B21" s="10" t="n"/>
      <c r="C21" s="10" t="n"/>
      <c r="D21" s="9" t="n"/>
      <c r="E21" s="11">
        <f>IF(OR(B21="",C21=""),"",$B$4*B21*C21*IF(D21="",1,D21))</f>
        <v/>
      </c>
    </row>
    <row r="22">
      <c r="A22" s="9" t="n"/>
      <c r="B22" s="10" t="n"/>
      <c r="C22" s="10" t="n"/>
      <c r="D22" s="9" t="n"/>
      <c r="E22" s="11">
        <f>IF(OR(B22="",C22=""),"",$B$4*B22*C22*IF(D22="",1,D22))</f>
        <v/>
      </c>
    </row>
    <row r="23">
      <c r="A23" s="9" t="n"/>
      <c r="B23" s="10" t="n"/>
      <c r="C23" s="10" t="n"/>
      <c r="D23" s="9" t="n"/>
      <c r="E23" s="11">
        <f>IF(OR(B23="",C23=""),"",$B$4*B23*C23*IF(D23="",1,D23))</f>
        <v/>
      </c>
    </row>
    <row r="24">
      <c r="A24" s="9" t="n"/>
      <c r="B24" s="10" t="n"/>
      <c r="C24" s="10" t="n"/>
      <c r="D24" s="9" t="n"/>
      <c r="E24" s="11">
        <f>IF(OR(B24="",C24=""),"",$B$4*B24*C24*IF(D24="",1,D24))</f>
        <v/>
      </c>
    </row>
    <row r="25">
      <c r="A25" s="9" t="n"/>
      <c r="B25" s="10" t="n"/>
      <c r="C25" s="10" t="n"/>
      <c r="D25" s="9" t="n"/>
      <c r="E25" s="11">
        <f>IF(OR(B25="",C25=""),"",$B$4*B25*C25*IF(D25="",1,D25))</f>
        <v/>
      </c>
    </row>
    <row r="26">
      <c r="A26" s="9" t="n"/>
      <c r="B26" s="10" t="n"/>
      <c r="C26" s="10" t="n"/>
      <c r="D26" s="9" t="n"/>
      <c r="E26" s="11">
        <f>IF(OR(B26="",C26=""),"",$B$4*B26*C26*IF(D26="",1,D26))</f>
        <v/>
      </c>
    </row>
    <row r="27">
      <c r="A27" s="9" t="n"/>
      <c r="B27" s="10" t="n"/>
      <c r="C27" s="10" t="n"/>
      <c r="D27" s="9" t="n"/>
      <c r="E27" s="11">
        <f>IF(OR(B27="",C27=""),"",$B$4*B27*C27*IF(D27="",1,D27))</f>
        <v/>
      </c>
    </row>
    <row r="29">
      <c r="D29" s="5" t="inlineStr">
        <is>
          <t>Total leaf area (cm²)</t>
        </is>
      </c>
      <c r="E29" s="13">
        <f>SUM(E8:E27)</f>
        <v/>
      </c>
    </row>
    <row r="30">
      <c r="D30" s="5" t="inlineStr">
        <is>
          <t>× overlap factor (cm²)</t>
        </is>
      </c>
      <c r="E30" s="14">
        <f>ROUND($B$5*E29,1)</f>
        <v/>
      </c>
    </row>
    <row r="32">
      <c r="A32" s="5" t="inlineStr">
        <is>
          <t>Run with</t>
        </is>
      </c>
      <c r="B32" s="15">
        <f>"run ./plot_lunchbox_photosynthesis.py --leaf_area "&amp;E30</f>
        <v/>
      </c>
    </row>
  </sheetData>
  <mergeCells count="4">
    <mergeCell ref="B32:F32"/>
    <mergeCell ref="A2:F2"/>
    <mergeCell ref="C4:F4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8" customWidth="1" min="5" max="5"/>
    <col width="60" customWidth="1" min="6" max="6"/>
  </cols>
  <sheetData>
    <row r="1">
      <c r="A1" s="4" t="inlineStr">
        <is>
          <t>Maize leaf area</t>
        </is>
      </c>
    </row>
    <row r="2" ht="45" customHeight="1">
      <c r="A2" s="2" t="inlineStr">
        <is>
          <t>Grass blades. Measure EACH blade separately: length along the blade from where it leaves the stem (where the blades split, not from the soil) to the tip, width across the widest part.</t>
        </is>
      </c>
    </row>
    <row r="4" ht="30" customHeight="1">
      <c r="A4" s="5" t="inlineStr">
        <is>
          <t>Shape factor</t>
        </is>
      </c>
      <c r="B4" s="6" t="n">
        <v>0.75</v>
      </c>
      <c r="C4" s="7" t="inlineStr">
        <is>
          <t>Fraction of the length x width rectangle a grass blade fills (strap-shaped, tapering only near the tip; 0.75 is the standard value for maize).</t>
        </is>
      </c>
    </row>
    <row r="5" ht="30" customHeight="1">
      <c r="A5" s="5" t="inlineStr">
        <is>
          <t>Overlap factor</t>
        </is>
      </c>
      <c r="B5" s="6" t="n">
        <v>1</v>
      </c>
      <c r="C5" s="7" t="inlineStr">
        <is>
          <t>Upright grass blades barely overlap, so all of the one-sided blade area counts (1 = no correction).</t>
        </is>
      </c>
    </row>
    <row r="7" ht="30" customHeight="1">
      <c r="A7" s="8" t="inlineStr">
        <is>
          <t>Blade</t>
        </is>
      </c>
      <c r="B7" s="8" t="inlineStr">
        <is>
          <t>Length (cm)</t>
        </is>
      </c>
      <c r="C7" s="8" t="inlineStr">
        <is>
          <t>Width (cm)</t>
        </is>
      </c>
      <c r="D7" s="8" t="inlineStr">
        <is>
          <t>How many blades this size</t>
        </is>
      </c>
      <c r="E7" s="8" t="inlineStr">
        <is>
          <t>Area (cm²)</t>
        </is>
      </c>
    </row>
    <row r="8">
      <c r="A8" s="9" t="inlineStr">
        <is>
          <t>Blade 1</t>
        </is>
      </c>
      <c r="B8" s="10" t="n">
        <v>6.3</v>
      </c>
      <c r="C8" s="10" t="n">
        <v>1.4</v>
      </c>
      <c r="D8" s="9" t="n">
        <v>1</v>
      </c>
      <c r="E8" s="11">
        <f>IF(OR(B8="",C8=""),"",$B$4*B8*C8*IF(D8="",1,D8))</f>
        <v/>
      </c>
      <c r="F8" s="12" t="inlineStr">
        <is>
          <t>Blank 'How many' counts as 1.</t>
        </is>
      </c>
    </row>
    <row r="9">
      <c r="A9" s="9" t="inlineStr">
        <is>
          <t>Blade 2</t>
        </is>
      </c>
      <c r="B9" s="10" t="n">
        <v>6.3</v>
      </c>
      <c r="C9" s="10" t="n">
        <v>1.4</v>
      </c>
      <c r="D9" s="9" t="n">
        <v>1</v>
      </c>
      <c r="E9" s="11">
        <f>IF(OR(B9="",C9=""),"",$B$4*B9*C9*IF(D9="",1,D9))</f>
        <v/>
      </c>
    </row>
    <row r="10">
      <c r="A10" s="9" t="n"/>
      <c r="B10" s="10" t="n"/>
      <c r="C10" s="10" t="n"/>
      <c r="D10" s="9" t="n"/>
      <c r="E10" s="11">
        <f>IF(OR(B10="",C10=""),"",$B$4*B10*C10*IF(D10="",1,D10))</f>
        <v/>
      </c>
    </row>
    <row r="11">
      <c r="A11" s="9" t="n"/>
      <c r="B11" s="10" t="n"/>
      <c r="C11" s="10" t="n"/>
      <c r="D11" s="9" t="n"/>
      <c r="E11" s="11">
        <f>IF(OR(B11="",C11=""),"",$B$4*B11*C11*IF(D11="",1,D11))</f>
        <v/>
      </c>
    </row>
    <row r="12">
      <c r="A12" s="9" t="n"/>
      <c r="B12" s="10" t="n"/>
      <c r="C12" s="10" t="n"/>
      <c r="D12" s="9" t="n"/>
      <c r="E12" s="11">
        <f>IF(OR(B12="",C12=""),"",$B$4*B12*C12*IF(D12="",1,D12))</f>
        <v/>
      </c>
    </row>
    <row r="13">
      <c r="A13" s="9" t="n"/>
      <c r="B13" s="10" t="n"/>
      <c r="C13" s="10" t="n"/>
      <c r="D13" s="9" t="n"/>
      <c r="E13" s="11">
        <f>IF(OR(B13="",C13=""),"",$B$4*B13*C13*IF(D13="",1,D13))</f>
        <v/>
      </c>
    </row>
    <row r="14">
      <c r="A14" s="9" t="n"/>
      <c r="B14" s="10" t="n"/>
      <c r="C14" s="10" t="n"/>
      <c r="D14" s="9" t="n"/>
      <c r="E14" s="11">
        <f>IF(OR(B14="",C14=""),"",$B$4*B14*C14*IF(D14="",1,D14))</f>
        <v/>
      </c>
    </row>
    <row r="15">
      <c r="A15" s="9" t="n"/>
      <c r="B15" s="10" t="n"/>
      <c r="C15" s="10" t="n"/>
      <c r="D15" s="9" t="n"/>
      <c r="E15" s="11">
        <f>IF(OR(B15="",C15=""),"",$B$4*B15*C15*IF(D15="",1,D15))</f>
        <v/>
      </c>
    </row>
    <row r="16">
      <c r="A16" s="9" t="n"/>
      <c r="B16" s="10" t="n"/>
      <c r="C16" s="10" t="n"/>
      <c r="D16" s="9" t="n"/>
      <c r="E16" s="11">
        <f>IF(OR(B16="",C16=""),"",$B$4*B16*C16*IF(D16="",1,D16))</f>
        <v/>
      </c>
    </row>
    <row r="17">
      <c r="A17" s="9" t="n"/>
      <c r="B17" s="10" t="n"/>
      <c r="C17" s="10" t="n"/>
      <c r="D17" s="9" t="n"/>
      <c r="E17" s="11">
        <f>IF(OR(B17="",C17=""),"",$B$4*B17*C17*IF(D17="",1,D17))</f>
        <v/>
      </c>
    </row>
    <row r="18">
      <c r="A18" s="9" t="n"/>
      <c r="B18" s="10" t="n"/>
      <c r="C18" s="10" t="n"/>
      <c r="D18" s="9" t="n"/>
      <c r="E18" s="11">
        <f>IF(OR(B18="",C18=""),"",$B$4*B18*C18*IF(D18="",1,D18))</f>
        <v/>
      </c>
    </row>
    <row r="19">
      <c r="A19" s="9" t="n"/>
      <c r="B19" s="10" t="n"/>
      <c r="C19" s="10" t="n"/>
      <c r="D19" s="9" t="n"/>
      <c r="E19" s="11">
        <f>IF(OR(B19="",C19=""),"",$B$4*B19*C19*IF(D19="",1,D19))</f>
        <v/>
      </c>
    </row>
    <row r="20">
      <c r="A20" s="9" t="n"/>
      <c r="B20" s="10" t="n"/>
      <c r="C20" s="10" t="n"/>
      <c r="D20" s="9" t="n"/>
      <c r="E20" s="11">
        <f>IF(OR(B20="",C20=""),"",$B$4*B20*C20*IF(D20="",1,D20))</f>
        <v/>
      </c>
    </row>
    <row r="21">
      <c r="A21" s="9" t="n"/>
      <c r="B21" s="10" t="n"/>
      <c r="C21" s="10" t="n"/>
      <c r="D21" s="9" t="n"/>
      <c r="E21" s="11">
        <f>IF(OR(B21="",C21=""),"",$B$4*B21*C21*IF(D21="",1,D21))</f>
        <v/>
      </c>
    </row>
    <row r="22">
      <c r="A22" s="9" t="n"/>
      <c r="B22" s="10" t="n"/>
      <c r="C22" s="10" t="n"/>
      <c r="D22" s="9" t="n"/>
      <c r="E22" s="11">
        <f>IF(OR(B22="",C22=""),"",$B$4*B22*C22*IF(D22="",1,D22))</f>
        <v/>
      </c>
    </row>
    <row r="23">
      <c r="A23" s="9" t="n"/>
      <c r="B23" s="10" t="n"/>
      <c r="C23" s="10" t="n"/>
      <c r="D23" s="9" t="n"/>
      <c r="E23" s="11">
        <f>IF(OR(B23="",C23=""),"",$B$4*B23*C23*IF(D23="",1,D23))</f>
        <v/>
      </c>
    </row>
    <row r="24">
      <c r="A24" s="9" t="n"/>
      <c r="B24" s="10" t="n"/>
      <c r="C24" s="10" t="n"/>
      <c r="D24" s="9" t="n"/>
      <c r="E24" s="11">
        <f>IF(OR(B24="",C24=""),"",$B$4*B24*C24*IF(D24="",1,D24))</f>
        <v/>
      </c>
    </row>
    <row r="25">
      <c r="A25" s="9" t="n"/>
      <c r="B25" s="10" t="n"/>
      <c r="C25" s="10" t="n"/>
      <c r="D25" s="9" t="n"/>
      <c r="E25" s="11">
        <f>IF(OR(B25="",C25=""),"",$B$4*B25*C25*IF(D25="",1,D25))</f>
        <v/>
      </c>
    </row>
    <row r="26">
      <c r="A26" s="9" t="n"/>
      <c r="B26" s="10" t="n"/>
      <c r="C26" s="10" t="n"/>
      <c r="D26" s="9" t="n"/>
      <c r="E26" s="11">
        <f>IF(OR(B26="",C26=""),"",$B$4*B26*C26*IF(D26="",1,D26))</f>
        <v/>
      </c>
    </row>
    <row r="27">
      <c r="A27" s="9" t="n"/>
      <c r="B27" s="10" t="n"/>
      <c r="C27" s="10" t="n"/>
      <c r="D27" s="9" t="n"/>
      <c r="E27" s="11">
        <f>IF(OR(B27="",C27=""),"",$B$4*B27*C27*IF(D27="",1,D27))</f>
        <v/>
      </c>
    </row>
    <row r="29">
      <c r="D29" s="5" t="inlineStr">
        <is>
          <t>Total leaf area (cm²)</t>
        </is>
      </c>
      <c r="E29" s="13">
        <f>SUM(E8:E27)</f>
        <v/>
      </c>
    </row>
    <row r="30">
      <c r="D30" s="5" t="inlineStr">
        <is>
          <t>× overlap factor (cm²)</t>
        </is>
      </c>
      <c r="E30" s="14">
        <f>ROUND($B$5*E29,1)</f>
        <v/>
      </c>
    </row>
    <row r="32">
      <c r="A32" s="5" t="inlineStr">
        <is>
          <t>Run with</t>
        </is>
      </c>
      <c r="B32" s="15">
        <f>"run ./plot_lunchbox_photosynthesis.py --leaf_area "&amp;E30</f>
        <v/>
      </c>
    </row>
  </sheetData>
  <mergeCells count="4">
    <mergeCell ref="B32:F32"/>
    <mergeCell ref="A2:F2"/>
    <mergeCell ref="C4:F4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2026-10-12T09:50:03Z</dcterms:created>
  <dcterms:modified xmlns:dcterms="http://purl.org/dc/terms/" xmlns:xsi="http://www.w3.org/2001/XMLSchema-instance" xsi:type="dcterms:W3CDTF">2026-10-12T09:50:03Z</dcterms:modified>
</cp:coreProperties>
</file>